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_TheAvenuesSoftware\__projects\bg-financial-net-au-dev\"/>
    </mc:Choice>
  </mc:AlternateContent>
  <xr:revisionPtr revIDLastSave="0" documentId="8_{8F687750-DAD5-48CD-9E1E-084C3EC629AC}" xr6:coauthVersionLast="47" xr6:coauthVersionMax="47" xr10:uidLastSave="{00000000-0000-0000-0000-000000000000}"/>
  <bookViews>
    <workbookView xWindow="23880" yWindow="-120" windowWidth="24240" windowHeight="13020" xr2:uid="{FDBC254B-DE3F-4FB8-941E-2AF4C828A9AB}"/>
  </bookViews>
  <sheets>
    <sheet name="Sheet2" sheetId="3" r:id="rId1"/>
    <sheet name="stats-bgfinancial.net.au.ndjson" sheetId="1" r:id="rId2"/>
  </sheets>
  <calcPr calcId="0"/>
  <pivotCaches>
    <pivotCache cacheId="15" r:id="rId3"/>
  </pivotCaches>
</workbook>
</file>

<file path=xl/calcChain.xml><?xml version="1.0" encoding="utf-8"?>
<calcChain xmlns="http://schemas.openxmlformats.org/spreadsheetml/2006/main">
  <c r="O28" i="1" l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</calcChain>
</file>

<file path=xl/sharedStrings.xml><?xml version="1.0" encoding="utf-8"?>
<sst xmlns="http://schemas.openxmlformats.org/spreadsheetml/2006/main" count="206" uniqueCount="100">
  <si>
    <t>navSite</t>
  </si>
  <si>
    <t>navPath</t>
  </si>
  <si>
    <t>screenWidth</t>
  </si>
  <si>
    <t>screenHeight</t>
  </si>
  <si>
    <t>devicePixelRatio</t>
  </si>
  <si>
    <t>referrer</t>
  </si>
  <si>
    <t>minutesOnPage</t>
  </si>
  <si>
    <t>serverTimestampUTC</t>
  </si>
  <si>
    <t>serverTimestampLocal</t>
  </si>
  <si>
    <t>ip</t>
  </si>
  <si>
    <t>viewportWidth</t>
  </si>
  <si>
    <t>viewportHeight</t>
  </si>
  <si>
    <t>trafficType</t>
  </si>
  <si>
    <t>bgfinancial.net.au</t>
  </si>
  <si>
    <t>site-loded</t>
  </si>
  <si>
    <t>https://www.linkedin.com/</t>
  </si>
  <si>
    <t>2026-02-13T02:53:01.221Z</t>
  </si>
  <si>
    <t>13/02/2026, 1:53:01 pm</t>
  </si>
  <si>
    <t>194.193.217.16</t>
  </si>
  <si>
    <t>site-visibilitychange-hidden</t>
  </si>
  <si>
    <t>2026-02-13T02:53:18.201Z</t>
  </si>
  <si>
    <t>13/02/2026, 1:53:18 pm</t>
  </si>
  <si>
    <t>site-visibilitychange-visible</t>
  </si>
  <si>
    <t>2026-02-13T02:53:22.228Z</t>
  </si>
  <si>
    <t>13/02/2026, 1:53:22 pm</t>
  </si>
  <si>
    <t>2026-02-13T02:53:23.642Z</t>
  </si>
  <si>
    <t>13/02/2026, 1:53:23 pm</t>
  </si>
  <si>
    <t>https://www.google.com/</t>
  </si>
  <si>
    <t>2026-02-13T02:53:47.232Z</t>
  </si>
  <si>
    <t>13/02/2026, 1:53:47 pm</t>
  </si>
  <si>
    <t>management-team</t>
  </si>
  <si>
    <t>2026-02-13T02:53:48.755Z</t>
  </si>
  <si>
    <t>13/02/2026, 1:53:48 pm</t>
  </si>
  <si>
    <t>tax--accounting</t>
  </si>
  <si>
    <t>2026-02-13T02:54:01.487Z</t>
  </si>
  <si>
    <t>13/02/2026, 1:54:01 pm</t>
  </si>
  <si>
    <t>2026-02-13T02:54:07.714Z</t>
  </si>
  <si>
    <t>13/02/2026, 1:54:07 pm</t>
  </si>
  <si>
    <t>2026-02-13T02:54:13.796Z</t>
  </si>
  <si>
    <t>13/02/2026, 1:54:13 pm</t>
  </si>
  <si>
    <t>2026-02-13T03:02:09.185Z</t>
  </si>
  <si>
    <t>13/02/2026, 2:02:09 pm</t>
  </si>
  <si>
    <t>2026-02-13T03:02:11.192Z</t>
  </si>
  <si>
    <t>13/02/2026, 2:02:11 pm</t>
  </si>
  <si>
    <t>2026-02-13T03:04:47.044Z</t>
  </si>
  <si>
    <t>13/02/2026, 2:04:47 pm</t>
  </si>
  <si>
    <t>site-pagehide</t>
  </si>
  <si>
    <t>2026-02-13T03:04:50.149Z</t>
  </si>
  <si>
    <t>13/02/2026, 2:04:50 pm</t>
  </si>
  <si>
    <t>2026-02-13T03:04:50.210Z</t>
  </si>
  <si>
    <t>2026-02-14T01:05:17.917Z</t>
  </si>
  <si>
    <t>14/02/2026, 12:05:17 pm</t>
  </si>
  <si>
    <t>173.252.107.34</t>
  </si>
  <si>
    <t>2026-02-14T07:39:57.853Z</t>
  </si>
  <si>
    <t>14/02/2026, 6:39:57 pm</t>
  </si>
  <si>
    <t>202.8.42.77</t>
  </si>
  <si>
    <t>2026-02-14T09:34:42.306Z</t>
  </si>
  <si>
    <t>14/02/2026, 8:34:42 pm</t>
  </si>
  <si>
    <t>69.160.160.55</t>
  </si>
  <si>
    <t>2026-02-14T12:29:33.132Z</t>
  </si>
  <si>
    <t>14/02/2026, 11:29:33 pm</t>
  </si>
  <si>
    <t>65.55.210.17</t>
  </si>
  <si>
    <t>2026-02-14T16:16:04.917Z</t>
  </si>
  <si>
    <t>15/02/2026, 3:16:04 am</t>
  </si>
  <si>
    <t>149.56.150.74</t>
  </si>
  <si>
    <t>direct</t>
  </si>
  <si>
    <t>2026-02-15T13:33:08.729Z</t>
  </si>
  <si>
    <t>16/02/2026, 12:33:08 am</t>
  </si>
  <si>
    <t>114.77.160.242</t>
  </si>
  <si>
    <t>2026-02-15T13:33:08.789Z</t>
  </si>
  <si>
    <t>site-unload</t>
  </si>
  <si>
    <t>2026-02-15T13:33:08.805Z</t>
  </si>
  <si>
    <t>site-load</t>
  </si>
  <si>
    <t>https%3A%2F%2Fwww.google.com%2F</t>
  </si>
  <si>
    <t>2026-02-16T01:58:10.824Z</t>
  </si>
  <si>
    <t>16/02/2026, 12:58:10 pm</t>
  </si>
  <si>
    <t>49.184.118.43</t>
  </si>
  <si>
    <t>2026-02-16T03:34:44.543Z</t>
  </si>
  <si>
    <t>16/02/2026, 2:34:44 pm</t>
  </si>
  <si>
    <t>45.64.195.202</t>
  </si>
  <si>
    <t>services</t>
  </si>
  <si>
    <t>2026-02-16T03:34:45.090Z</t>
  </si>
  <si>
    <t>16/02/2026, 2:34:45 pm</t>
  </si>
  <si>
    <t>our-firm</t>
  </si>
  <si>
    <t>2026-02-16T03:34:59.145Z</t>
  </si>
  <si>
    <t>16/02/2026, 2:34:59 pm</t>
  </si>
  <si>
    <t>2026-02-16T03:36:40.263Z</t>
  </si>
  <si>
    <t>16/02/2026, 2:36:40 pm</t>
  </si>
  <si>
    <t>DATE</t>
  </si>
  <si>
    <t>2026-02-13</t>
  </si>
  <si>
    <t>2026-02-14</t>
  </si>
  <si>
    <t>2026-02-15</t>
  </si>
  <si>
    <t>2026-02-16</t>
  </si>
  <si>
    <t>Sum of minutesOnPage</t>
  </si>
  <si>
    <t>VISITOR COUNT</t>
  </si>
  <si>
    <t>Sum of VISITOR COUNT</t>
  </si>
  <si>
    <t>2026-02-13 Total</t>
  </si>
  <si>
    <t>2026-02-14 Total</t>
  </si>
  <si>
    <t>2026-02-15 Total</t>
  </si>
  <si>
    <t>2026-02-16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</si>
</sst>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[stats-bgfinancial.net.au.ndjson_20260217_032355.xlsx]Sheet2!PivotTable2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Sheet2!$C$3</c:f>
              <c:strCache>
                <c:ptCount val="1"/>
                <c:pt idx="0">
                  <c:v>Sum of minutesOnPage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Sheet2!$A$4:$B$21</c:f>
              <c:multiLvlStrCache>
                <c:ptCount val="14"/>
                <c:lvl>
                  <c:pt idx="0">
                    <c:v>management-team</c:v>
                  </c:pt>
                  <c:pt idx="1">
                    <c:v>site-loded</c:v>
                  </c:pt>
                  <c:pt idx="2">
                    <c:v>site-pagehide</c:v>
                  </c:pt>
                  <c:pt idx="3">
                    <c:v>site-visibilitychange-hidden</c:v>
                  </c:pt>
                  <c:pt idx="4">
                    <c:v>site-visibilitychange-visible</c:v>
                  </c:pt>
                  <c:pt idx="5">
                    <c:v>tax--accounting</c:v>
                  </c:pt>
                  <c:pt idx="6">
                    <c:v>site-loded</c:v>
                  </c:pt>
                  <c:pt idx="7">
                    <c:v>site-pagehide</c:v>
                  </c:pt>
                  <c:pt idx="8">
                    <c:v>site-unload</c:v>
                  </c:pt>
                  <c:pt idx="9">
                    <c:v>site-visibilitychange-hidden</c:v>
                  </c:pt>
                  <c:pt idx="10">
                    <c:v>our-firm</c:v>
                  </c:pt>
                  <c:pt idx="11">
                    <c:v>services</c:v>
                  </c:pt>
                  <c:pt idx="12">
                    <c:v>site-load</c:v>
                  </c:pt>
                  <c:pt idx="13">
                    <c:v>site-visibilitychange-visible</c:v>
                  </c:pt>
                </c:lvl>
                <c:lvl>
                  <c:pt idx="0">
                    <c:v>2026-02-13</c:v>
                  </c:pt>
                  <c:pt idx="6">
                    <c:v>2026-02-14</c:v>
                  </c:pt>
                  <c:pt idx="7">
                    <c:v>2026-02-15</c:v>
                  </c:pt>
                  <c:pt idx="10">
                    <c:v>2026-02-16</c:v>
                  </c:pt>
                </c:lvl>
              </c:multiLvlStrCache>
            </c:multiLvlStrRef>
          </c:cat>
          <c:val>
            <c:numRef>
              <c:f>Sheet2!$C$4:$C$21</c:f>
              <c:numCache>
                <c:formatCode>General</c:formatCode>
                <c:ptCount val="14"/>
                <c:pt idx="0">
                  <c:v>0.5</c:v>
                </c:pt>
                <c:pt idx="1">
                  <c:v>0</c:v>
                </c:pt>
                <c:pt idx="2">
                  <c:v>0.1</c:v>
                </c:pt>
                <c:pt idx="3">
                  <c:v>0.9</c:v>
                </c:pt>
                <c:pt idx="4">
                  <c:v>0</c:v>
                </c:pt>
                <c:pt idx="5">
                  <c:v>0.3</c:v>
                </c:pt>
                <c:pt idx="6">
                  <c:v>0</c:v>
                </c:pt>
                <c:pt idx="7">
                  <c:v>29519373.112</c:v>
                </c:pt>
                <c:pt idx="8">
                  <c:v>29519373.112</c:v>
                </c:pt>
                <c:pt idx="9">
                  <c:v>29519373.112</c:v>
                </c:pt>
                <c:pt idx="10">
                  <c:v>0.29299999999999998</c:v>
                </c:pt>
                <c:pt idx="11">
                  <c:v>5.8999999999999997E-2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C3-4B27-B8E2-E218A3E8249A}"/>
            </c:ext>
          </c:extLst>
        </c:ser>
        <c:ser>
          <c:idx val="1"/>
          <c:order val="1"/>
          <c:tx>
            <c:strRef>
              <c:f>Sheet2!$D$3</c:f>
              <c:strCache>
                <c:ptCount val="1"/>
                <c:pt idx="0">
                  <c:v>Sum of VISITOR 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Sheet2!$A$4:$B$21</c:f>
              <c:multiLvlStrCache>
                <c:ptCount val="14"/>
                <c:lvl>
                  <c:pt idx="0">
                    <c:v>management-team</c:v>
                  </c:pt>
                  <c:pt idx="1">
                    <c:v>site-loded</c:v>
                  </c:pt>
                  <c:pt idx="2">
                    <c:v>site-pagehide</c:v>
                  </c:pt>
                  <c:pt idx="3">
                    <c:v>site-visibilitychange-hidden</c:v>
                  </c:pt>
                  <c:pt idx="4">
                    <c:v>site-visibilitychange-visible</c:v>
                  </c:pt>
                  <c:pt idx="5">
                    <c:v>tax--accounting</c:v>
                  </c:pt>
                  <c:pt idx="6">
                    <c:v>site-loded</c:v>
                  </c:pt>
                  <c:pt idx="7">
                    <c:v>site-pagehide</c:v>
                  </c:pt>
                  <c:pt idx="8">
                    <c:v>site-unload</c:v>
                  </c:pt>
                  <c:pt idx="9">
                    <c:v>site-visibilitychange-hidden</c:v>
                  </c:pt>
                  <c:pt idx="10">
                    <c:v>our-firm</c:v>
                  </c:pt>
                  <c:pt idx="11">
                    <c:v>services</c:v>
                  </c:pt>
                  <c:pt idx="12">
                    <c:v>site-load</c:v>
                  </c:pt>
                  <c:pt idx="13">
                    <c:v>site-visibilitychange-visible</c:v>
                  </c:pt>
                </c:lvl>
                <c:lvl>
                  <c:pt idx="0">
                    <c:v>2026-02-13</c:v>
                  </c:pt>
                  <c:pt idx="6">
                    <c:v>2026-02-14</c:v>
                  </c:pt>
                  <c:pt idx="7">
                    <c:v>2026-02-15</c:v>
                  </c:pt>
                  <c:pt idx="10">
                    <c:v>2026-02-16</c:v>
                  </c:pt>
                </c:lvl>
              </c:multiLvlStrCache>
            </c:multiLvlStrRef>
          </c:cat>
          <c:val>
            <c:numRef>
              <c:f>Sheet2!$D$4:$D$21</c:f>
              <c:numCache>
                <c:formatCode>General</c:formatCode>
                <c:ptCount val="14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C3-4B27-B8E2-E218A3E824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9109775"/>
        <c:axId val="279113615"/>
      </c:barChart>
      <c:catAx>
        <c:axId val="279109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113615"/>
        <c:crosses val="autoZero"/>
        <c:auto val="1"/>
        <c:lblAlgn val="ctr"/>
        <c:lblOffset val="100"/>
        <c:noMultiLvlLbl val="0"/>
      </c:catAx>
      <c:valAx>
        <c:axId val="279113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109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1333500</xdr:colOff>
      <xdr:row>5</xdr:row>
      <xdr:rowOff>171450</xdr:rowOff>
    </xdr:from>
    <xdr:to>
      <xdr:col>4</xdr:col>
      <xdr:colOff>1190625</xdr:colOff>
      <xdr:row>20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3266AF-4A81-F576-E611-E468DDB989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s" refreshedDate="46070.149078819442" createdVersion="8" refreshedVersion="8" minRefreshableVersion="3" recordCount="27" xr:uid="{656DF411-F139-4A55-A466-44021A6F1CBB}">
  <cacheSource type="worksheet">
    <worksheetSource ref="A1:O28" sheet="stats-bgfinancial.net.au.ndjson"/>
  </cacheSource>
  <cacheFields count="15">
    <cacheField name="navSite" numFmtId="0">
      <sharedItems/>
    </cacheField>
    <cacheField name="navPath" numFmtId="0">
      <sharedItems count="10">
        <s v="site-loded"/>
        <s v="site-visibilitychange-hidden"/>
        <s v="site-visibilitychange-visible"/>
        <s v="management-team"/>
        <s v="tax--accounting"/>
        <s v="site-pagehide"/>
        <s v="site-unload"/>
        <s v="site-load"/>
        <s v="services"/>
        <s v="our-firm"/>
      </sharedItems>
    </cacheField>
    <cacheField name="screenWidth" numFmtId="0">
      <sharedItems containsSemiMixedTypes="0" containsString="0" containsNumber="1" containsInteger="1" minValue="390" maxValue="1920"/>
    </cacheField>
    <cacheField name="screenHeight" numFmtId="0">
      <sharedItems containsSemiMixedTypes="0" containsString="0" containsNumber="1" containsInteger="1" minValue="569" maxValue="12140"/>
    </cacheField>
    <cacheField name="devicePixelRatio" numFmtId="0">
      <sharedItems containsSemiMixedTypes="0" containsString="0" containsNumber="1" minValue="1" maxValue="3"/>
    </cacheField>
    <cacheField name="referrer" numFmtId="0">
      <sharedItems containsBlank="1"/>
    </cacheField>
    <cacheField name="minutesOnPage" numFmtId="0">
      <sharedItems containsSemiMixedTypes="0" containsString="0" containsNumber="1" minValue="0" maxValue="29519373.112"/>
    </cacheField>
    <cacheField name="serverTimestampUTC" numFmtId="0">
      <sharedItems/>
    </cacheField>
    <cacheField name="serverTimestampLocal" numFmtId="0">
      <sharedItems/>
    </cacheField>
    <cacheField name="ip" numFmtId="0">
      <sharedItems count="9">
        <s v="194.193.217.16"/>
        <s v="173.252.107.34"/>
        <s v="202.8.42.77"/>
        <s v="69.160.160.55"/>
        <s v="65.55.210.17"/>
        <s v="149.56.150.74"/>
        <s v="114.77.160.242"/>
        <s v="49.184.118.43"/>
        <s v="45.64.195.202"/>
      </sharedItems>
    </cacheField>
    <cacheField name="viewportWidth" numFmtId="0">
      <sharedItems containsString="0" containsBlank="1" containsNumber="1" containsInteger="1" minValue="390" maxValue="1536"/>
    </cacheField>
    <cacheField name="viewportHeight" numFmtId="0">
      <sharedItems containsString="0" containsBlank="1" containsNumber="1" containsInteger="1" minValue="699" maxValue="745"/>
    </cacheField>
    <cacheField name="trafficType" numFmtId="0">
      <sharedItems containsNonDate="0" containsString="0" containsBlank="1"/>
    </cacheField>
    <cacheField name="DATE" numFmtId="0">
      <sharedItems count="4">
        <s v="2026-02-13"/>
        <s v="2026-02-14"/>
        <s v="2026-02-15"/>
        <s v="2026-02-16"/>
      </sharedItems>
    </cacheField>
    <cacheField name="VISITOR COUNT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s v="bgfinancial.net.au"/>
    <x v="0"/>
    <n v="390"/>
    <n v="666"/>
    <n v="3"/>
    <s v="https://www.linkedin.com/"/>
    <n v="0"/>
    <s v="2026-02-13T02:53:01.221Z"/>
    <s v="13/02/2026, 1:53:01 pm"/>
    <x v="0"/>
    <m/>
    <m/>
    <m/>
    <x v="0"/>
    <n v="1"/>
  </r>
  <r>
    <s v="bgfinancial.net.au"/>
    <x v="1"/>
    <n v="390"/>
    <n v="666"/>
    <n v="3"/>
    <s v="https://www.linkedin.com/"/>
    <n v="0.3"/>
    <s v="2026-02-13T02:53:18.201Z"/>
    <s v="13/02/2026, 1:53:18 pm"/>
    <x v="0"/>
    <m/>
    <m/>
    <m/>
    <x v="0"/>
    <n v="0"/>
  </r>
  <r>
    <s v="bgfinancial.net.au"/>
    <x v="2"/>
    <n v="390"/>
    <n v="666"/>
    <n v="3"/>
    <s v="https://www.linkedin.com/"/>
    <n v="0"/>
    <s v="2026-02-13T02:53:22.228Z"/>
    <s v="13/02/2026, 1:53:22 pm"/>
    <x v="0"/>
    <m/>
    <m/>
    <m/>
    <x v="0"/>
    <n v="0"/>
  </r>
  <r>
    <s v="bgfinancial.net.au"/>
    <x v="1"/>
    <n v="390"/>
    <n v="666"/>
    <n v="3"/>
    <s v="https://www.linkedin.com/"/>
    <n v="0"/>
    <s v="2026-02-13T02:53:23.642Z"/>
    <s v="13/02/2026, 1:53:23 pm"/>
    <x v="0"/>
    <m/>
    <m/>
    <m/>
    <x v="0"/>
    <n v="0"/>
  </r>
  <r>
    <s v="bgfinancial.net.au"/>
    <x v="0"/>
    <n v="390"/>
    <n v="699"/>
    <n v="3"/>
    <s v="https://www.google.com/"/>
    <n v="0"/>
    <s v="2026-02-13T02:53:47.232Z"/>
    <s v="13/02/2026, 1:53:47 pm"/>
    <x v="0"/>
    <m/>
    <m/>
    <m/>
    <x v="0"/>
    <n v="0"/>
  </r>
  <r>
    <s v="bgfinancial.net.au"/>
    <x v="3"/>
    <n v="390"/>
    <n v="699"/>
    <n v="3"/>
    <s v="https://www.google.com/"/>
    <n v="0.1"/>
    <s v="2026-02-13T02:53:48.755Z"/>
    <s v="13/02/2026, 1:53:48 pm"/>
    <x v="0"/>
    <m/>
    <m/>
    <m/>
    <x v="0"/>
    <n v="0"/>
  </r>
  <r>
    <s v="bgfinancial.net.au"/>
    <x v="4"/>
    <n v="390"/>
    <n v="699"/>
    <n v="3"/>
    <s v="https://www.google.com/"/>
    <n v="0.3"/>
    <s v="2026-02-13T02:54:01.487Z"/>
    <s v="13/02/2026, 1:54:01 pm"/>
    <x v="0"/>
    <m/>
    <m/>
    <m/>
    <x v="0"/>
    <n v="0"/>
  </r>
  <r>
    <s v="bgfinancial.net.au"/>
    <x v="3"/>
    <n v="390"/>
    <n v="699"/>
    <n v="3"/>
    <s v="https://www.google.com/"/>
    <n v="0.4"/>
    <s v="2026-02-13T02:54:07.714Z"/>
    <s v="13/02/2026, 1:54:07 pm"/>
    <x v="0"/>
    <m/>
    <m/>
    <m/>
    <x v="0"/>
    <n v="0"/>
  </r>
  <r>
    <s v="bgfinancial.net.au"/>
    <x v="1"/>
    <n v="390"/>
    <n v="699"/>
    <n v="3"/>
    <s v="https://www.google.com/"/>
    <n v="0.5"/>
    <s v="2026-02-13T02:54:13.796Z"/>
    <s v="13/02/2026, 1:54:13 pm"/>
    <x v="0"/>
    <m/>
    <m/>
    <m/>
    <x v="0"/>
    <n v="0"/>
  </r>
  <r>
    <s v="bgfinancial.net.au"/>
    <x v="2"/>
    <n v="390"/>
    <n v="699"/>
    <n v="3"/>
    <s v="https://www.google.com/"/>
    <n v="0"/>
    <s v="2026-02-13T03:02:09.185Z"/>
    <s v="13/02/2026, 2:02:09 pm"/>
    <x v="0"/>
    <m/>
    <m/>
    <m/>
    <x v="0"/>
    <n v="0"/>
  </r>
  <r>
    <s v="bgfinancial.net.au"/>
    <x v="1"/>
    <n v="390"/>
    <n v="699"/>
    <n v="3"/>
    <s v="https://www.google.com/"/>
    <n v="0"/>
    <s v="2026-02-13T03:02:11.192Z"/>
    <s v="13/02/2026, 2:02:11 pm"/>
    <x v="0"/>
    <m/>
    <m/>
    <m/>
    <x v="0"/>
    <n v="0"/>
  </r>
  <r>
    <s v="bgfinancial.net.au"/>
    <x v="2"/>
    <n v="390"/>
    <n v="699"/>
    <n v="3"/>
    <s v="https://www.google.com/"/>
    <n v="0"/>
    <s v="2026-02-13T03:04:47.044Z"/>
    <s v="13/02/2026, 2:04:47 pm"/>
    <x v="0"/>
    <m/>
    <m/>
    <m/>
    <x v="0"/>
    <n v="0"/>
  </r>
  <r>
    <s v="bgfinancial.net.au"/>
    <x v="5"/>
    <n v="390"/>
    <n v="699"/>
    <n v="3"/>
    <s v="https://www.google.com/"/>
    <n v="0.1"/>
    <s v="2026-02-13T03:04:50.149Z"/>
    <s v="13/02/2026, 2:04:50 pm"/>
    <x v="0"/>
    <m/>
    <m/>
    <m/>
    <x v="0"/>
    <n v="0"/>
  </r>
  <r>
    <s v="bgfinancial.net.au"/>
    <x v="1"/>
    <n v="390"/>
    <n v="699"/>
    <n v="3"/>
    <s v="https://www.google.com/"/>
    <n v="0.1"/>
    <s v="2026-02-13T03:04:50.210Z"/>
    <s v="13/02/2026, 2:04:50 pm"/>
    <x v="0"/>
    <m/>
    <m/>
    <m/>
    <x v="0"/>
    <n v="0"/>
  </r>
  <r>
    <s v="bgfinancial.net.au"/>
    <x v="0"/>
    <n v="1920"/>
    <n v="1080"/>
    <n v="1"/>
    <m/>
    <n v="0"/>
    <s v="2026-02-14T01:05:17.917Z"/>
    <s v="14/02/2026, 12:05:17 pm"/>
    <x v="1"/>
    <m/>
    <m/>
    <m/>
    <x v="1"/>
    <n v="1"/>
  </r>
  <r>
    <s v="bgfinancial.net.au"/>
    <x v="0"/>
    <n v="1024"/>
    <n v="12140"/>
    <n v="1"/>
    <m/>
    <n v="0"/>
    <s v="2026-02-14T07:39:57.853Z"/>
    <s v="14/02/2026, 6:39:57 pm"/>
    <x v="2"/>
    <m/>
    <m/>
    <m/>
    <x v="1"/>
    <n v="1"/>
  </r>
  <r>
    <s v="bgfinancial.net.au"/>
    <x v="0"/>
    <n v="1700"/>
    <n v="1000"/>
    <n v="1"/>
    <m/>
    <n v="0"/>
    <s v="2026-02-14T09:34:42.306Z"/>
    <s v="14/02/2026, 8:34:42 pm"/>
    <x v="3"/>
    <m/>
    <m/>
    <m/>
    <x v="1"/>
    <n v="1"/>
  </r>
  <r>
    <s v="bgfinancial.net.au"/>
    <x v="0"/>
    <n v="1024"/>
    <n v="569"/>
    <n v="1"/>
    <m/>
    <n v="0"/>
    <s v="2026-02-14T12:29:33.132Z"/>
    <s v="14/02/2026, 11:29:33 pm"/>
    <x v="4"/>
    <m/>
    <m/>
    <m/>
    <x v="1"/>
    <n v="1"/>
  </r>
  <r>
    <s v="bgfinancial.net.au"/>
    <x v="0"/>
    <n v="1920"/>
    <n v="1080"/>
    <n v="1"/>
    <m/>
    <n v="0"/>
    <s v="2026-02-14T16:16:04.917Z"/>
    <s v="15/02/2026, 3:16:04 am"/>
    <x v="5"/>
    <m/>
    <m/>
    <m/>
    <x v="1"/>
    <n v="1"/>
  </r>
  <r>
    <s v="bgfinancial.net.au"/>
    <x v="5"/>
    <n v="390"/>
    <n v="844"/>
    <n v="3"/>
    <s v="direct"/>
    <n v="29519373.112"/>
    <s v="2026-02-15T13:33:08.729Z"/>
    <s v="16/02/2026, 12:33:08 am"/>
    <x v="6"/>
    <n v="390"/>
    <n v="699"/>
    <m/>
    <x v="2"/>
    <n v="1"/>
  </r>
  <r>
    <s v="bgfinancial.net.au"/>
    <x v="1"/>
    <n v="390"/>
    <n v="844"/>
    <n v="3"/>
    <s v="direct"/>
    <n v="29519373.112"/>
    <s v="2026-02-15T13:33:08.789Z"/>
    <s v="16/02/2026, 12:33:08 am"/>
    <x v="6"/>
    <n v="390"/>
    <n v="699"/>
    <m/>
    <x v="2"/>
    <n v="0"/>
  </r>
  <r>
    <s v="bgfinancial.net.au"/>
    <x v="6"/>
    <n v="390"/>
    <n v="844"/>
    <n v="3"/>
    <s v="direct"/>
    <n v="29519373.112"/>
    <s v="2026-02-15T13:33:08.805Z"/>
    <s v="16/02/2026, 12:33:08 am"/>
    <x v="6"/>
    <n v="390"/>
    <n v="699"/>
    <m/>
    <x v="2"/>
    <n v="0"/>
  </r>
  <r>
    <s v="bgfinancial.net.au"/>
    <x v="7"/>
    <n v="430"/>
    <n v="932"/>
    <n v="3"/>
    <s v="https%3A%2F%2Fwww.google.com%2F"/>
    <n v="0"/>
    <s v="2026-02-16T01:58:10.824Z"/>
    <s v="16/02/2026, 12:58:10 pm"/>
    <x v="7"/>
    <n v="430"/>
    <n v="745"/>
    <m/>
    <x v="3"/>
    <n v="1"/>
  </r>
  <r>
    <s v="bgfinancial.net.au"/>
    <x v="7"/>
    <n v="1536"/>
    <n v="864"/>
    <n v="1.25"/>
    <s v="direct"/>
    <n v="0"/>
    <s v="2026-02-16T03:34:44.543Z"/>
    <s v="16/02/2026, 2:34:44 pm"/>
    <x v="8"/>
    <n v="1536"/>
    <n v="730"/>
    <m/>
    <x v="3"/>
    <n v="1"/>
  </r>
  <r>
    <s v="bgfinancial.net.au"/>
    <x v="8"/>
    <n v="1536"/>
    <n v="864"/>
    <n v="1.25"/>
    <s v="direct"/>
    <n v="5.8999999999999997E-2"/>
    <s v="2026-02-16T03:34:45.090Z"/>
    <s v="16/02/2026, 2:34:45 pm"/>
    <x v="8"/>
    <n v="1536"/>
    <n v="730"/>
    <m/>
    <x v="3"/>
    <n v="0"/>
  </r>
  <r>
    <s v="bgfinancial.net.au"/>
    <x v="9"/>
    <n v="1536"/>
    <n v="864"/>
    <n v="1.25"/>
    <s v="direct"/>
    <n v="0.29299999999999998"/>
    <s v="2026-02-16T03:34:59.145Z"/>
    <s v="16/02/2026, 2:34:59 pm"/>
    <x v="8"/>
    <n v="1536"/>
    <n v="730"/>
    <m/>
    <x v="3"/>
    <n v="0"/>
  </r>
  <r>
    <s v="bgfinancial.net.au"/>
    <x v="2"/>
    <n v="1536"/>
    <n v="864"/>
    <n v="1.25"/>
    <s v="direct"/>
    <n v="0"/>
    <s v="2026-02-16T03:36:40.263Z"/>
    <s v="16/02/2026, 2:36:40 pm"/>
    <x v="8"/>
    <n v="1536"/>
    <n v="730"/>
    <m/>
    <x v="3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D866B7-C6BC-4AFE-A05B-8F5BB8D6D21F}" name="PivotTable2" cacheId="15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showHeaders="0" compact="0" compactData="0" multipleFieldFilters="0" chartFormat="6">
  <location ref="A3:D21" firstHeaderRow="0" firstDataRow="1" firstDataCol="2"/>
  <pivotFields count="15">
    <pivotField compact="0" outline="0" showAll="0"/>
    <pivotField axis="axisRow" compact="0" outline="0" showAll="0">
      <items count="11">
        <item x="3"/>
        <item x="9"/>
        <item x="8"/>
        <item x="7"/>
        <item x="0"/>
        <item x="5"/>
        <item x="6"/>
        <item x="1"/>
        <item x="2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>
      <items count="10">
        <item x="6"/>
        <item x="5"/>
        <item x="1"/>
        <item x="0"/>
        <item x="2"/>
        <item x="8"/>
        <item x="7"/>
        <item x="4"/>
        <item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/>
    <pivotField compact="0" outline="0" showAll="0"/>
    <pivotField compact="0" outline="0" showAll="0"/>
    <pivotField axis="axisRow" compact="0" outline="0" showAll="0">
      <items count="5">
        <item x="0"/>
        <item x="1"/>
        <item x="2"/>
        <item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/>
  </pivotFields>
  <rowFields count="2">
    <field x="13"/>
    <field x="1"/>
  </rowFields>
  <rowItems count="18">
    <i>
      <x/>
      <x/>
    </i>
    <i r="1">
      <x v="4"/>
    </i>
    <i r="1">
      <x v="5"/>
    </i>
    <i r="1">
      <x v="7"/>
    </i>
    <i r="1">
      <x v="8"/>
    </i>
    <i r="1">
      <x v="9"/>
    </i>
    <i t="default">
      <x/>
    </i>
    <i>
      <x v="1"/>
      <x v="4"/>
    </i>
    <i t="default">
      <x v="1"/>
    </i>
    <i>
      <x v="2"/>
      <x v="5"/>
    </i>
    <i r="1">
      <x v="6"/>
    </i>
    <i r="1">
      <x v="7"/>
    </i>
    <i t="default">
      <x v="2"/>
    </i>
    <i>
      <x v="3"/>
      <x v="1"/>
    </i>
    <i r="1">
      <x v="2"/>
    </i>
    <i r="1">
      <x v="3"/>
    </i>
    <i r="1">
      <x v="8"/>
    </i>
    <i t="default">
      <x v="3"/>
    </i>
  </rowItems>
  <colFields count="1">
    <field x="-2"/>
  </colFields>
  <colItems count="2">
    <i>
      <x/>
    </i>
    <i i="1">
      <x v="1"/>
    </i>
  </colItems>
  <dataFields count="2">
    <dataField name="Sum of minutesOnPage" fld="6" baseField="0" baseItem="0"/>
    <dataField name="Sum of VISITOR COUNT" fld="14" baseField="0" baseItem="0"/>
  </dataFields>
  <chartFormats count="2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73507-3DCA-4536-99F9-31113AB5E158}">
  <dimension ref="A3:D21"/>
  <sheetViews>
    <sheetView tabSelected="1" workbookViewId="0">
      <selection activeCell="E4" sqref="E4"/>
    </sheetView>
  </sheetViews>
  <sheetFormatPr defaultRowHeight="15" x14ac:dyDescent="0.25"/>
  <cols>
    <col min="1" max="1" width="31.5703125" bestFit="1" customWidth="1"/>
    <col min="2" max="2" width="26" bestFit="1" customWidth="1"/>
    <col min="3" max="3" width="22.42578125" bestFit="1" customWidth="1"/>
    <col min="4" max="5" width="22.28515625" bestFit="1" customWidth="1"/>
  </cols>
  <sheetData>
    <row r="3" spans="1:4" x14ac:dyDescent="0.25">
      <c r="C3" t="s">
        <v>93</v>
      </c>
      <c r="D3" t="s">
        <v>95</v>
      </c>
    </row>
    <row r="4" spans="1:4" x14ac:dyDescent="0.25">
      <c r="A4" t="s">
        <v>89</v>
      </c>
      <c r="B4" t="s">
        <v>30</v>
      </c>
      <c r="C4" s="1">
        <v>0.5</v>
      </c>
      <c r="D4" s="1">
        <v>0</v>
      </c>
    </row>
    <row r="5" spans="1:4" x14ac:dyDescent="0.25">
      <c r="A5" t="s">
        <v>89</v>
      </c>
      <c r="B5" t="s">
        <v>14</v>
      </c>
      <c r="C5" s="1">
        <v>0</v>
      </c>
      <c r="D5" s="1">
        <v>1</v>
      </c>
    </row>
    <row r="6" spans="1:4" x14ac:dyDescent="0.25">
      <c r="A6" t="s">
        <v>89</v>
      </c>
      <c r="B6" t="s">
        <v>46</v>
      </c>
      <c r="C6" s="1">
        <v>0.1</v>
      </c>
      <c r="D6" s="1">
        <v>0</v>
      </c>
    </row>
    <row r="7" spans="1:4" x14ac:dyDescent="0.25">
      <c r="A7" t="s">
        <v>89</v>
      </c>
      <c r="B7" t="s">
        <v>19</v>
      </c>
      <c r="C7" s="1">
        <v>0.9</v>
      </c>
      <c r="D7" s="1">
        <v>0</v>
      </c>
    </row>
    <row r="8" spans="1:4" x14ac:dyDescent="0.25">
      <c r="A8" t="s">
        <v>89</v>
      </c>
      <c r="B8" t="s">
        <v>22</v>
      </c>
      <c r="C8" s="1">
        <v>0</v>
      </c>
      <c r="D8" s="1">
        <v>0</v>
      </c>
    </row>
    <row r="9" spans="1:4" x14ac:dyDescent="0.25">
      <c r="A9" t="s">
        <v>89</v>
      </c>
      <c r="B9" t="s">
        <v>33</v>
      </c>
      <c r="C9" s="1">
        <v>0.3</v>
      </c>
      <c r="D9" s="1">
        <v>0</v>
      </c>
    </row>
    <row r="10" spans="1:4" x14ac:dyDescent="0.25">
      <c r="A10" t="s">
        <v>96</v>
      </c>
      <c r="C10" s="1">
        <v>1.8</v>
      </c>
      <c r="D10" s="1">
        <v>1</v>
      </c>
    </row>
    <row r="11" spans="1:4" x14ac:dyDescent="0.25">
      <c r="A11" t="s">
        <v>90</v>
      </c>
      <c r="B11" t="s">
        <v>14</v>
      </c>
      <c r="C11" s="1">
        <v>0</v>
      </c>
      <c r="D11" s="1">
        <v>5</v>
      </c>
    </row>
    <row r="12" spans="1:4" x14ac:dyDescent="0.25">
      <c r="A12" t="s">
        <v>97</v>
      </c>
      <c r="C12" s="1">
        <v>0</v>
      </c>
      <c r="D12" s="1">
        <v>5</v>
      </c>
    </row>
    <row r="13" spans="1:4" x14ac:dyDescent="0.25">
      <c r="A13" t="s">
        <v>91</v>
      </c>
      <c r="B13" t="s">
        <v>46</v>
      </c>
      <c r="C13" s="1">
        <v>29519373.112</v>
      </c>
      <c r="D13" s="1">
        <v>1</v>
      </c>
    </row>
    <row r="14" spans="1:4" x14ac:dyDescent="0.25">
      <c r="A14" t="s">
        <v>91</v>
      </c>
      <c r="B14" t="s">
        <v>70</v>
      </c>
      <c r="C14" s="1">
        <v>29519373.112</v>
      </c>
      <c r="D14" s="1">
        <v>0</v>
      </c>
    </row>
    <row r="15" spans="1:4" x14ac:dyDescent="0.25">
      <c r="A15" t="s">
        <v>91</v>
      </c>
      <c r="B15" t="s">
        <v>19</v>
      </c>
      <c r="C15" s="1">
        <v>29519373.112</v>
      </c>
      <c r="D15" s="1">
        <v>0</v>
      </c>
    </row>
    <row r="16" spans="1:4" x14ac:dyDescent="0.25">
      <c r="A16" t="s">
        <v>98</v>
      </c>
      <c r="C16" s="1">
        <v>88558119.335999995</v>
      </c>
      <c r="D16" s="1">
        <v>1</v>
      </c>
    </row>
    <row r="17" spans="1:4" x14ac:dyDescent="0.25">
      <c r="A17" t="s">
        <v>92</v>
      </c>
      <c r="B17" t="s">
        <v>83</v>
      </c>
      <c r="C17" s="1">
        <v>0.29299999999999998</v>
      </c>
      <c r="D17" s="1">
        <v>0</v>
      </c>
    </row>
    <row r="18" spans="1:4" x14ac:dyDescent="0.25">
      <c r="A18" t="s">
        <v>92</v>
      </c>
      <c r="B18" t="s">
        <v>80</v>
      </c>
      <c r="C18" s="1">
        <v>5.8999999999999997E-2</v>
      </c>
      <c r="D18" s="1">
        <v>0</v>
      </c>
    </row>
    <row r="19" spans="1:4" x14ac:dyDescent="0.25">
      <c r="A19" t="s">
        <v>92</v>
      </c>
      <c r="B19" t="s">
        <v>72</v>
      </c>
      <c r="C19" s="1">
        <v>0</v>
      </c>
      <c r="D19" s="1">
        <v>2</v>
      </c>
    </row>
    <row r="20" spans="1:4" x14ac:dyDescent="0.25">
      <c r="A20" t="s">
        <v>92</v>
      </c>
      <c r="B20" t="s">
        <v>22</v>
      </c>
      <c r="C20" s="1">
        <v>0</v>
      </c>
      <c r="D20" s="1">
        <v>0</v>
      </c>
    </row>
    <row r="21" spans="1:4" x14ac:dyDescent="0.25">
      <c r="A21" t="s">
        <v>99</v>
      </c>
      <c r="C21" s="1">
        <v>0.35199999999999998</v>
      </c>
      <c r="D21" s="1">
        <v>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06EA8-7D7F-4FD3-B718-FAEE657ABA7D}">
  <dimension ref="A1:O28"/>
  <sheetViews>
    <sheetView topLeftCell="D3" workbookViewId="0">
      <selection activeCell="O27" sqref="O27"/>
    </sheetView>
  </sheetViews>
  <sheetFormatPr defaultRowHeight="15" x14ac:dyDescent="0.25"/>
  <cols>
    <col min="1" max="1" width="17.42578125" bestFit="1" customWidth="1"/>
    <col min="2" max="2" width="26" bestFit="1" customWidth="1"/>
    <col min="3" max="3" width="12" bestFit="1" customWidth="1"/>
    <col min="4" max="4" width="12.42578125" bestFit="1" customWidth="1"/>
    <col min="5" max="5" width="15.42578125" bestFit="1" customWidth="1"/>
    <col min="6" max="6" width="35.85546875" bestFit="1" customWidth="1"/>
    <col min="7" max="7" width="15.140625" bestFit="1" customWidth="1"/>
    <col min="8" max="8" width="23.5703125" bestFit="1" customWidth="1"/>
    <col min="9" max="9" width="22.28515625" bestFit="1" customWidth="1"/>
    <col min="10" max="10" width="13.85546875" bestFit="1" customWidth="1"/>
    <col min="11" max="11" width="13.7109375" bestFit="1" customWidth="1"/>
    <col min="12" max="12" width="14.140625" bestFit="1" customWidth="1"/>
    <col min="13" max="13" width="10.140625" bestFit="1" customWidth="1"/>
    <col min="14" max="14" width="21.140625" bestFit="1" customWidth="1"/>
    <col min="15" max="15" width="14.71093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88</v>
      </c>
      <c r="O1" t="s">
        <v>94</v>
      </c>
    </row>
    <row r="2" spans="1:15" x14ac:dyDescent="0.25">
      <c r="A2" t="s">
        <v>13</v>
      </c>
      <c r="B2" t="s">
        <v>14</v>
      </c>
      <c r="C2">
        <v>390</v>
      </c>
      <c r="D2">
        <v>666</v>
      </c>
      <c r="E2">
        <v>3</v>
      </c>
      <c r="F2" t="s">
        <v>15</v>
      </c>
      <c r="G2">
        <v>0</v>
      </c>
      <c r="H2" t="s">
        <v>16</v>
      </c>
      <c r="I2" t="s">
        <v>17</v>
      </c>
      <c r="J2" t="s">
        <v>18</v>
      </c>
      <c r="N2" t="str">
        <f>LEFT(H2,10)</f>
        <v>2026-02-13</v>
      </c>
      <c r="O2">
        <f ca="1">IF(J2&lt;&gt;OFFSET(J2,-1,0),1,0)</f>
        <v>1</v>
      </c>
    </row>
    <row r="3" spans="1:15" x14ac:dyDescent="0.25">
      <c r="A3" t="s">
        <v>13</v>
      </c>
      <c r="B3" t="s">
        <v>19</v>
      </c>
      <c r="C3">
        <v>390</v>
      </c>
      <c r="D3">
        <v>666</v>
      </c>
      <c r="E3">
        <v>3</v>
      </c>
      <c r="F3" t="s">
        <v>15</v>
      </c>
      <c r="G3">
        <v>0.3</v>
      </c>
      <c r="H3" t="s">
        <v>20</v>
      </c>
      <c r="I3" t="s">
        <v>21</v>
      </c>
      <c r="J3" t="s">
        <v>18</v>
      </c>
      <c r="N3" t="str">
        <f t="shared" ref="N3:N28" si="0">LEFT(H3,10)</f>
        <v>2026-02-13</v>
      </c>
      <c r="O3">
        <f t="shared" ref="O3:O28" ca="1" si="1">IF(J3&lt;&gt;OFFSET(J3,-1,0),1,0)</f>
        <v>0</v>
      </c>
    </row>
    <row r="4" spans="1:15" x14ac:dyDescent="0.25">
      <c r="A4" t="s">
        <v>13</v>
      </c>
      <c r="B4" t="s">
        <v>22</v>
      </c>
      <c r="C4">
        <v>390</v>
      </c>
      <c r="D4">
        <v>666</v>
      </c>
      <c r="E4">
        <v>3</v>
      </c>
      <c r="F4" t="s">
        <v>15</v>
      </c>
      <c r="G4">
        <v>0</v>
      </c>
      <c r="H4" t="s">
        <v>23</v>
      </c>
      <c r="I4" t="s">
        <v>24</v>
      </c>
      <c r="J4" t="s">
        <v>18</v>
      </c>
      <c r="N4" t="str">
        <f t="shared" si="0"/>
        <v>2026-02-13</v>
      </c>
      <c r="O4">
        <f t="shared" ca="1" si="1"/>
        <v>0</v>
      </c>
    </row>
    <row r="5" spans="1:15" x14ac:dyDescent="0.25">
      <c r="A5" t="s">
        <v>13</v>
      </c>
      <c r="B5" t="s">
        <v>19</v>
      </c>
      <c r="C5">
        <v>390</v>
      </c>
      <c r="D5">
        <v>666</v>
      </c>
      <c r="E5">
        <v>3</v>
      </c>
      <c r="F5" t="s">
        <v>15</v>
      </c>
      <c r="G5">
        <v>0</v>
      </c>
      <c r="H5" t="s">
        <v>25</v>
      </c>
      <c r="I5" t="s">
        <v>26</v>
      </c>
      <c r="J5" t="s">
        <v>18</v>
      </c>
      <c r="N5" t="str">
        <f t="shared" si="0"/>
        <v>2026-02-13</v>
      </c>
      <c r="O5">
        <f t="shared" ca="1" si="1"/>
        <v>0</v>
      </c>
    </row>
    <row r="6" spans="1:15" x14ac:dyDescent="0.25">
      <c r="A6" t="s">
        <v>13</v>
      </c>
      <c r="B6" t="s">
        <v>14</v>
      </c>
      <c r="C6">
        <v>390</v>
      </c>
      <c r="D6">
        <v>699</v>
      </c>
      <c r="E6">
        <v>3</v>
      </c>
      <c r="F6" t="s">
        <v>27</v>
      </c>
      <c r="G6">
        <v>0</v>
      </c>
      <c r="H6" t="s">
        <v>28</v>
      </c>
      <c r="I6" t="s">
        <v>29</v>
      </c>
      <c r="J6" t="s">
        <v>18</v>
      </c>
      <c r="N6" t="str">
        <f t="shared" si="0"/>
        <v>2026-02-13</v>
      </c>
      <c r="O6">
        <f t="shared" ca="1" si="1"/>
        <v>0</v>
      </c>
    </row>
    <row r="7" spans="1:15" x14ac:dyDescent="0.25">
      <c r="A7" t="s">
        <v>13</v>
      </c>
      <c r="B7" t="s">
        <v>30</v>
      </c>
      <c r="C7">
        <v>390</v>
      </c>
      <c r="D7">
        <v>699</v>
      </c>
      <c r="E7">
        <v>3</v>
      </c>
      <c r="F7" t="s">
        <v>27</v>
      </c>
      <c r="G7">
        <v>0.1</v>
      </c>
      <c r="H7" t="s">
        <v>31</v>
      </c>
      <c r="I7" t="s">
        <v>32</v>
      </c>
      <c r="J7" t="s">
        <v>18</v>
      </c>
      <c r="N7" t="str">
        <f t="shared" si="0"/>
        <v>2026-02-13</v>
      </c>
      <c r="O7">
        <f t="shared" ca="1" si="1"/>
        <v>0</v>
      </c>
    </row>
    <row r="8" spans="1:15" x14ac:dyDescent="0.25">
      <c r="A8" t="s">
        <v>13</v>
      </c>
      <c r="B8" t="s">
        <v>33</v>
      </c>
      <c r="C8">
        <v>390</v>
      </c>
      <c r="D8">
        <v>699</v>
      </c>
      <c r="E8">
        <v>3</v>
      </c>
      <c r="F8" t="s">
        <v>27</v>
      </c>
      <c r="G8">
        <v>0.3</v>
      </c>
      <c r="H8" t="s">
        <v>34</v>
      </c>
      <c r="I8" t="s">
        <v>35</v>
      </c>
      <c r="J8" t="s">
        <v>18</v>
      </c>
      <c r="N8" t="str">
        <f t="shared" si="0"/>
        <v>2026-02-13</v>
      </c>
      <c r="O8">
        <f t="shared" ca="1" si="1"/>
        <v>0</v>
      </c>
    </row>
    <row r="9" spans="1:15" x14ac:dyDescent="0.25">
      <c r="A9" t="s">
        <v>13</v>
      </c>
      <c r="B9" t="s">
        <v>30</v>
      </c>
      <c r="C9">
        <v>390</v>
      </c>
      <c r="D9">
        <v>699</v>
      </c>
      <c r="E9">
        <v>3</v>
      </c>
      <c r="F9" t="s">
        <v>27</v>
      </c>
      <c r="G9">
        <v>0.4</v>
      </c>
      <c r="H9" t="s">
        <v>36</v>
      </c>
      <c r="I9" t="s">
        <v>37</v>
      </c>
      <c r="J9" t="s">
        <v>18</v>
      </c>
      <c r="N9" t="str">
        <f t="shared" si="0"/>
        <v>2026-02-13</v>
      </c>
      <c r="O9">
        <f t="shared" ca="1" si="1"/>
        <v>0</v>
      </c>
    </row>
    <row r="10" spans="1:15" x14ac:dyDescent="0.25">
      <c r="A10" t="s">
        <v>13</v>
      </c>
      <c r="B10" t="s">
        <v>19</v>
      </c>
      <c r="C10">
        <v>390</v>
      </c>
      <c r="D10">
        <v>699</v>
      </c>
      <c r="E10">
        <v>3</v>
      </c>
      <c r="F10" t="s">
        <v>27</v>
      </c>
      <c r="G10">
        <v>0.5</v>
      </c>
      <c r="H10" t="s">
        <v>38</v>
      </c>
      <c r="I10" t="s">
        <v>39</v>
      </c>
      <c r="J10" t="s">
        <v>18</v>
      </c>
      <c r="N10" t="str">
        <f t="shared" si="0"/>
        <v>2026-02-13</v>
      </c>
      <c r="O10">
        <f t="shared" ca="1" si="1"/>
        <v>0</v>
      </c>
    </row>
    <row r="11" spans="1:15" x14ac:dyDescent="0.25">
      <c r="A11" t="s">
        <v>13</v>
      </c>
      <c r="B11" t="s">
        <v>22</v>
      </c>
      <c r="C11">
        <v>390</v>
      </c>
      <c r="D11">
        <v>699</v>
      </c>
      <c r="E11">
        <v>3</v>
      </c>
      <c r="F11" t="s">
        <v>27</v>
      </c>
      <c r="G11">
        <v>0</v>
      </c>
      <c r="H11" t="s">
        <v>40</v>
      </c>
      <c r="I11" t="s">
        <v>41</v>
      </c>
      <c r="J11" t="s">
        <v>18</v>
      </c>
      <c r="N11" t="str">
        <f t="shared" si="0"/>
        <v>2026-02-13</v>
      </c>
      <c r="O11">
        <f t="shared" ca="1" si="1"/>
        <v>0</v>
      </c>
    </row>
    <row r="12" spans="1:15" x14ac:dyDescent="0.25">
      <c r="A12" t="s">
        <v>13</v>
      </c>
      <c r="B12" t="s">
        <v>19</v>
      </c>
      <c r="C12">
        <v>390</v>
      </c>
      <c r="D12">
        <v>699</v>
      </c>
      <c r="E12">
        <v>3</v>
      </c>
      <c r="F12" t="s">
        <v>27</v>
      </c>
      <c r="G12">
        <v>0</v>
      </c>
      <c r="H12" t="s">
        <v>42</v>
      </c>
      <c r="I12" t="s">
        <v>43</v>
      </c>
      <c r="J12" t="s">
        <v>18</v>
      </c>
      <c r="N12" t="str">
        <f t="shared" si="0"/>
        <v>2026-02-13</v>
      </c>
      <c r="O12">
        <f t="shared" ca="1" si="1"/>
        <v>0</v>
      </c>
    </row>
    <row r="13" spans="1:15" x14ac:dyDescent="0.25">
      <c r="A13" t="s">
        <v>13</v>
      </c>
      <c r="B13" t="s">
        <v>22</v>
      </c>
      <c r="C13">
        <v>390</v>
      </c>
      <c r="D13">
        <v>699</v>
      </c>
      <c r="E13">
        <v>3</v>
      </c>
      <c r="F13" t="s">
        <v>27</v>
      </c>
      <c r="G13">
        <v>0</v>
      </c>
      <c r="H13" t="s">
        <v>44</v>
      </c>
      <c r="I13" t="s">
        <v>45</v>
      </c>
      <c r="J13" t="s">
        <v>18</v>
      </c>
      <c r="N13" t="str">
        <f t="shared" si="0"/>
        <v>2026-02-13</v>
      </c>
      <c r="O13">
        <f t="shared" ca="1" si="1"/>
        <v>0</v>
      </c>
    </row>
    <row r="14" spans="1:15" x14ac:dyDescent="0.25">
      <c r="A14" t="s">
        <v>13</v>
      </c>
      <c r="B14" t="s">
        <v>46</v>
      </c>
      <c r="C14">
        <v>390</v>
      </c>
      <c r="D14">
        <v>699</v>
      </c>
      <c r="E14">
        <v>3</v>
      </c>
      <c r="F14" t="s">
        <v>27</v>
      </c>
      <c r="G14">
        <v>0.1</v>
      </c>
      <c r="H14" t="s">
        <v>47</v>
      </c>
      <c r="I14" t="s">
        <v>48</v>
      </c>
      <c r="J14" t="s">
        <v>18</v>
      </c>
      <c r="N14" t="str">
        <f t="shared" si="0"/>
        <v>2026-02-13</v>
      </c>
      <c r="O14">
        <f t="shared" ca="1" si="1"/>
        <v>0</v>
      </c>
    </row>
    <row r="15" spans="1:15" x14ac:dyDescent="0.25">
      <c r="A15" t="s">
        <v>13</v>
      </c>
      <c r="B15" t="s">
        <v>19</v>
      </c>
      <c r="C15">
        <v>390</v>
      </c>
      <c r="D15">
        <v>699</v>
      </c>
      <c r="E15">
        <v>3</v>
      </c>
      <c r="F15" t="s">
        <v>27</v>
      </c>
      <c r="G15">
        <v>0.1</v>
      </c>
      <c r="H15" t="s">
        <v>49</v>
      </c>
      <c r="I15" t="s">
        <v>48</v>
      </c>
      <c r="J15" t="s">
        <v>18</v>
      </c>
      <c r="N15" t="str">
        <f t="shared" si="0"/>
        <v>2026-02-13</v>
      </c>
      <c r="O15">
        <f t="shared" ca="1" si="1"/>
        <v>0</v>
      </c>
    </row>
    <row r="16" spans="1:15" x14ac:dyDescent="0.25">
      <c r="A16" t="s">
        <v>13</v>
      </c>
      <c r="B16" t="s">
        <v>14</v>
      </c>
      <c r="C16">
        <v>1920</v>
      </c>
      <c r="D16">
        <v>1080</v>
      </c>
      <c r="E16">
        <v>1</v>
      </c>
      <c r="G16">
        <v>0</v>
      </c>
      <c r="H16" t="s">
        <v>50</v>
      </c>
      <c r="I16" t="s">
        <v>51</v>
      </c>
      <c r="J16" t="s">
        <v>52</v>
      </c>
      <c r="N16" t="str">
        <f t="shared" si="0"/>
        <v>2026-02-14</v>
      </c>
      <c r="O16">
        <f t="shared" ca="1" si="1"/>
        <v>1</v>
      </c>
    </row>
    <row r="17" spans="1:15" x14ac:dyDescent="0.25">
      <c r="A17" t="s">
        <v>13</v>
      </c>
      <c r="B17" t="s">
        <v>14</v>
      </c>
      <c r="C17">
        <v>1024</v>
      </c>
      <c r="D17">
        <v>12140</v>
      </c>
      <c r="E17">
        <v>1</v>
      </c>
      <c r="G17">
        <v>0</v>
      </c>
      <c r="H17" t="s">
        <v>53</v>
      </c>
      <c r="I17" t="s">
        <v>54</v>
      </c>
      <c r="J17" t="s">
        <v>55</v>
      </c>
      <c r="N17" t="str">
        <f t="shared" si="0"/>
        <v>2026-02-14</v>
      </c>
      <c r="O17">
        <f t="shared" ca="1" si="1"/>
        <v>1</v>
      </c>
    </row>
    <row r="18" spans="1:15" x14ac:dyDescent="0.25">
      <c r="A18" t="s">
        <v>13</v>
      </c>
      <c r="B18" t="s">
        <v>14</v>
      </c>
      <c r="C18">
        <v>1700</v>
      </c>
      <c r="D18">
        <v>1000</v>
      </c>
      <c r="E18">
        <v>1</v>
      </c>
      <c r="G18">
        <v>0</v>
      </c>
      <c r="H18" t="s">
        <v>56</v>
      </c>
      <c r="I18" t="s">
        <v>57</v>
      </c>
      <c r="J18" t="s">
        <v>58</v>
      </c>
      <c r="N18" t="str">
        <f t="shared" si="0"/>
        <v>2026-02-14</v>
      </c>
      <c r="O18">
        <f t="shared" ca="1" si="1"/>
        <v>1</v>
      </c>
    </row>
    <row r="19" spans="1:15" x14ac:dyDescent="0.25">
      <c r="A19" t="s">
        <v>13</v>
      </c>
      <c r="B19" t="s">
        <v>14</v>
      </c>
      <c r="C19">
        <v>1024</v>
      </c>
      <c r="D19">
        <v>569</v>
      </c>
      <c r="E19">
        <v>1</v>
      </c>
      <c r="G19">
        <v>0</v>
      </c>
      <c r="H19" t="s">
        <v>59</v>
      </c>
      <c r="I19" t="s">
        <v>60</v>
      </c>
      <c r="J19" t="s">
        <v>61</v>
      </c>
      <c r="N19" t="str">
        <f t="shared" si="0"/>
        <v>2026-02-14</v>
      </c>
      <c r="O19">
        <f t="shared" ca="1" si="1"/>
        <v>1</v>
      </c>
    </row>
    <row r="20" spans="1:15" x14ac:dyDescent="0.25">
      <c r="A20" t="s">
        <v>13</v>
      </c>
      <c r="B20" t="s">
        <v>14</v>
      </c>
      <c r="C20">
        <v>1920</v>
      </c>
      <c r="D20">
        <v>1080</v>
      </c>
      <c r="E20">
        <v>1</v>
      </c>
      <c r="G20">
        <v>0</v>
      </c>
      <c r="H20" t="s">
        <v>62</v>
      </c>
      <c r="I20" t="s">
        <v>63</v>
      </c>
      <c r="J20" t="s">
        <v>64</v>
      </c>
      <c r="N20" t="str">
        <f t="shared" si="0"/>
        <v>2026-02-14</v>
      </c>
      <c r="O20">
        <f t="shared" ca="1" si="1"/>
        <v>1</v>
      </c>
    </row>
    <row r="21" spans="1:15" x14ac:dyDescent="0.25">
      <c r="A21" t="s">
        <v>13</v>
      </c>
      <c r="B21" t="s">
        <v>46</v>
      </c>
      <c r="C21">
        <v>390</v>
      </c>
      <c r="D21">
        <v>844</v>
      </c>
      <c r="E21">
        <v>3</v>
      </c>
      <c r="F21" t="s">
        <v>65</v>
      </c>
      <c r="G21">
        <v>29519373.112</v>
      </c>
      <c r="H21" t="s">
        <v>66</v>
      </c>
      <c r="I21" t="s">
        <v>67</v>
      </c>
      <c r="J21" t="s">
        <v>68</v>
      </c>
      <c r="K21">
        <v>390</v>
      </c>
      <c r="L21">
        <v>699</v>
      </c>
      <c r="N21" t="str">
        <f t="shared" si="0"/>
        <v>2026-02-15</v>
      </c>
      <c r="O21">
        <f t="shared" ca="1" si="1"/>
        <v>1</v>
      </c>
    </row>
    <row r="22" spans="1:15" x14ac:dyDescent="0.25">
      <c r="A22" t="s">
        <v>13</v>
      </c>
      <c r="B22" t="s">
        <v>19</v>
      </c>
      <c r="C22">
        <v>390</v>
      </c>
      <c r="D22">
        <v>844</v>
      </c>
      <c r="E22">
        <v>3</v>
      </c>
      <c r="F22" t="s">
        <v>65</v>
      </c>
      <c r="G22">
        <v>29519373.112</v>
      </c>
      <c r="H22" t="s">
        <v>69</v>
      </c>
      <c r="I22" t="s">
        <v>67</v>
      </c>
      <c r="J22" t="s">
        <v>68</v>
      </c>
      <c r="K22">
        <v>390</v>
      </c>
      <c r="L22">
        <v>699</v>
      </c>
      <c r="N22" t="str">
        <f t="shared" si="0"/>
        <v>2026-02-15</v>
      </c>
      <c r="O22">
        <f t="shared" ca="1" si="1"/>
        <v>0</v>
      </c>
    </row>
    <row r="23" spans="1:15" x14ac:dyDescent="0.25">
      <c r="A23" t="s">
        <v>13</v>
      </c>
      <c r="B23" t="s">
        <v>70</v>
      </c>
      <c r="C23">
        <v>390</v>
      </c>
      <c r="D23">
        <v>844</v>
      </c>
      <c r="E23">
        <v>3</v>
      </c>
      <c r="F23" t="s">
        <v>65</v>
      </c>
      <c r="G23">
        <v>29519373.112</v>
      </c>
      <c r="H23" t="s">
        <v>71</v>
      </c>
      <c r="I23" t="s">
        <v>67</v>
      </c>
      <c r="J23" t="s">
        <v>68</v>
      </c>
      <c r="K23">
        <v>390</v>
      </c>
      <c r="L23">
        <v>699</v>
      </c>
      <c r="N23" t="str">
        <f t="shared" si="0"/>
        <v>2026-02-15</v>
      </c>
      <c r="O23">
        <f t="shared" ca="1" si="1"/>
        <v>0</v>
      </c>
    </row>
    <row r="24" spans="1:15" x14ac:dyDescent="0.25">
      <c r="A24" t="s">
        <v>13</v>
      </c>
      <c r="B24" t="s">
        <v>72</v>
      </c>
      <c r="C24">
        <v>430</v>
      </c>
      <c r="D24">
        <v>932</v>
      </c>
      <c r="E24">
        <v>3</v>
      </c>
      <c r="F24" t="s">
        <v>73</v>
      </c>
      <c r="G24">
        <v>0</v>
      </c>
      <c r="H24" t="s">
        <v>74</v>
      </c>
      <c r="I24" t="s">
        <v>75</v>
      </c>
      <c r="J24" t="s">
        <v>76</v>
      </c>
      <c r="K24">
        <v>430</v>
      </c>
      <c r="L24">
        <v>745</v>
      </c>
      <c r="N24" t="str">
        <f t="shared" si="0"/>
        <v>2026-02-16</v>
      </c>
      <c r="O24">
        <f t="shared" ca="1" si="1"/>
        <v>1</v>
      </c>
    </row>
    <row r="25" spans="1:15" x14ac:dyDescent="0.25">
      <c r="A25" t="s">
        <v>13</v>
      </c>
      <c r="B25" t="s">
        <v>72</v>
      </c>
      <c r="C25">
        <v>1536</v>
      </c>
      <c r="D25">
        <v>864</v>
      </c>
      <c r="E25">
        <v>1.25</v>
      </c>
      <c r="F25" t="s">
        <v>65</v>
      </c>
      <c r="G25">
        <v>0</v>
      </c>
      <c r="H25" t="s">
        <v>77</v>
      </c>
      <c r="I25" t="s">
        <v>78</v>
      </c>
      <c r="J25" t="s">
        <v>79</v>
      </c>
      <c r="K25">
        <v>1536</v>
      </c>
      <c r="L25">
        <v>730</v>
      </c>
      <c r="N25" t="str">
        <f t="shared" si="0"/>
        <v>2026-02-16</v>
      </c>
      <c r="O25">
        <f t="shared" ca="1" si="1"/>
        <v>1</v>
      </c>
    </row>
    <row r="26" spans="1:15" x14ac:dyDescent="0.25">
      <c r="A26" t="s">
        <v>13</v>
      </c>
      <c r="B26" t="s">
        <v>80</v>
      </c>
      <c r="C26">
        <v>1536</v>
      </c>
      <c r="D26">
        <v>864</v>
      </c>
      <c r="E26">
        <v>1.25</v>
      </c>
      <c r="F26" t="s">
        <v>65</v>
      </c>
      <c r="G26">
        <v>5.8999999999999997E-2</v>
      </c>
      <c r="H26" t="s">
        <v>81</v>
      </c>
      <c r="I26" t="s">
        <v>82</v>
      </c>
      <c r="J26" t="s">
        <v>79</v>
      </c>
      <c r="K26">
        <v>1536</v>
      </c>
      <c r="L26">
        <v>730</v>
      </c>
      <c r="N26" t="str">
        <f t="shared" si="0"/>
        <v>2026-02-16</v>
      </c>
      <c r="O26">
        <f t="shared" ca="1" si="1"/>
        <v>0</v>
      </c>
    </row>
    <row r="27" spans="1:15" x14ac:dyDescent="0.25">
      <c r="A27" t="s">
        <v>13</v>
      </c>
      <c r="B27" t="s">
        <v>83</v>
      </c>
      <c r="C27">
        <v>1536</v>
      </c>
      <c r="D27">
        <v>864</v>
      </c>
      <c r="E27">
        <v>1.25</v>
      </c>
      <c r="F27" t="s">
        <v>65</v>
      </c>
      <c r="G27">
        <v>0.29299999999999998</v>
      </c>
      <c r="H27" t="s">
        <v>84</v>
      </c>
      <c r="I27" t="s">
        <v>85</v>
      </c>
      <c r="J27" t="s">
        <v>79</v>
      </c>
      <c r="K27">
        <v>1536</v>
      </c>
      <c r="L27">
        <v>730</v>
      </c>
      <c r="N27" t="str">
        <f t="shared" si="0"/>
        <v>2026-02-16</v>
      </c>
      <c r="O27">
        <f t="shared" ca="1" si="1"/>
        <v>0</v>
      </c>
    </row>
    <row r="28" spans="1:15" x14ac:dyDescent="0.25">
      <c r="A28" t="s">
        <v>13</v>
      </c>
      <c r="B28" t="s">
        <v>22</v>
      </c>
      <c r="C28">
        <v>1536</v>
      </c>
      <c r="D28">
        <v>864</v>
      </c>
      <c r="E28">
        <v>1.25</v>
      </c>
      <c r="F28" t="s">
        <v>65</v>
      </c>
      <c r="G28">
        <v>0</v>
      </c>
      <c r="H28" t="s">
        <v>86</v>
      </c>
      <c r="I28" t="s">
        <v>87</v>
      </c>
      <c r="J28" t="s">
        <v>79</v>
      </c>
      <c r="K28">
        <v>1536</v>
      </c>
      <c r="L28">
        <v>730</v>
      </c>
      <c r="N28" t="str">
        <f t="shared" si="0"/>
        <v>2026-02-16</v>
      </c>
      <c r="O28">
        <f t="shared" ca="1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stats-bgfinancial.net.au.ndjson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mars</dc:creator>
  <cp:lastModifiedBy>Donald Garton</cp:lastModifiedBy>
  <dcterms:created xsi:type="dcterms:W3CDTF">2026-02-16T16:42:15Z</dcterms:created>
  <dcterms:modified xsi:type="dcterms:W3CDTF">2026-02-16T16:42:15Z</dcterms:modified>
</cp:coreProperties>
</file>